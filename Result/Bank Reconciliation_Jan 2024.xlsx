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ANG\Downloads\Project reconciliation\"/>
    </mc:Choice>
  </mc:AlternateContent>
  <xr:revisionPtr revIDLastSave="0" documentId="13_ncr:1_{402DED6C-4153-4C3D-8282-C7B1B7B65609}" xr6:coauthVersionLast="47" xr6:coauthVersionMax="47" xr10:uidLastSave="{00000000-0000-0000-0000-000000000000}"/>
  <bookViews>
    <workbookView xWindow="-108" yWindow="-108" windowWidth="23256" windowHeight="12456" activeTab="1" xr2:uid="{EEA37B9E-F6EA-4153-9D2C-4F8B1FDABEC6}"/>
  </bookViews>
  <sheets>
    <sheet name="Detailed Ledger" sheetId="3" r:id="rId1"/>
    <sheet name="Bank Statement" sheetId="2" r:id="rId2"/>
  </sheets>
  <definedNames>
    <definedName name="ExternalData_1" localSheetId="1" hidden="1">'Bank Statement'!$A$1:$F$37</definedName>
    <definedName name="ExternalData_2" localSheetId="0" hidden="1">'Detailed Ledger'!$B$2:$H$10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2" i="3" l="1"/>
  <c r="D27" i="3"/>
  <c r="D39" i="3"/>
  <c r="D41" i="3"/>
  <c r="E43" i="3" l="1"/>
  <c r="E28" i="3" l="1"/>
  <c r="E33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49479C-0C7C-426B-BA28-248DE4070B27}" keepAlive="1" name="Query - Bank Statement" description="Connection to the 'Bank Statement' query in the workbook." type="5" refreshedVersion="8" background="1" saveData="1">
    <dbPr connection="Provider=Microsoft.Mashup.OleDb.1;Data Source=$Workbook$;Location=&quot;Bank Statement&quot;;Extended Properties=&quot;&quot;" command="SELECT * FROM [Bank Statement]"/>
  </connection>
  <connection id="2" xr16:uid="{11C14E48-1F09-42C2-BA4A-6780246AA2C2}" keepAlive="1" name="Query - Detailed Ledger" description="Connection to the 'Detailed Ledger' query in the workbook." type="5" refreshedVersion="8" background="1" saveData="1">
    <dbPr connection="Provider=Microsoft.Mashup.OleDb.1;Data Source=$Workbook$;Location=&quot;Detailed Ledger&quot;;Extended Properties=&quot;&quot;" command="SELECT * FROM [Detailed Ledger]"/>
  </connection>
</connections>
</file>

<file path=xl/sharedStrings.xml><?xml version="1.0" encoding="utf-8"?>
<sst xmlns="http://schemas.openxmlformats.org/spreadsheetml/2006/main" count="145" uniqueCount="86">
  <si>
    <t>IBFT-IN | IBFT FROM NGUYEN T HOA REF 8821</t>
  </si>
  <si>
    <t>IBFT-OUT | IBFT TO CTY TNHH CAFE VIET REF 8901</t>
  </si>
  <si>
    <t>WALLET-IN | MOMO SETTLEMENT REF 7711</t>
  </si>
  <si>
    <t>POS SETTLEMENT VCB | REF 6622</t>
  </si>
  <si>
    <t>BILLPAY | EVN HCMC REF 5533</t>
  </si>
  <si>
    <t>IBFT-OUT | IBFT TO LE T MAI REF 4488</t>
  </si>
  <si>
    <t>IBFT-IN | IBFT FROM TRAN VAN B REF 3399</t>
  </si>
  <si>
    <t>IBFT-OUT | IBFT TO CTY CP DAU TU SAO MAI REF 2244</t>
  </si>
  <si>
    <t>POS SETTLEMENT VCB | REF 1155</t>
  </si>
  <si>
    <t>IBFT-OUT | IBFT TO CTY TNHH BANH NGOT ABC REF 9966</t>
  </si>
  <si>
    <t>WALLET-IN | MOMO SETTLEMENT REF 8877</t>
  </si>
  <si>
    <t>BILLPAY | VIETTEL REF 7788</t>
  </si>
  <si>
    <t>POS SETTLEMENT VCB | REF 6699</t>
  </si>
  <si>
    <t>IBFT-OUT | IBFT TO CTY TNHH SUA TUOI XYZ REF 5500</t>
  </si>
  <si>
    <t>FEE | ACCOUNT MAINTENANCE FEE T01/2024</t>
  </si>
  <si>
    <t>IBFT-IN | IBFT FROM PHAM VAN C REF 4411</t>
  </si>
  <si>
    <t>POS SETTLEMENT VCB | REF 3322</t>
  </si>
  <si>
    <t>BILLPAY | SAWACO REF 2233</t>
  </si>
  <si>
    <t>IBFT-OUT | IBFT TO CTY TNHH NL BAO BI REF 1100</t>
  </si>
  <si>
    <t>POS SETTLEMENT VCB | REF 9988</t>
  </si>
  <si>
    <t>IBFT-IN | IBFT FROM LE THI D REF 8800</t>
  </si>
  <si>
    <t>FEE | WIRE TRANSFER FEE REF 7733</t>
  </si>
  <si>
    <t>IBFT-OUT | IBFT TO NGUYEN V LONG REF 6644</t>
  </si>
  <si>
    <t>POS SETTLEMENT VCB | REF 5577</t>
  </si>
  <si>
    <t>IBFT-OUT | IBFT TO HKD TRAN VAN E REF 4466</t>
  </si>
  <si>
    <t>WALLET-IN | MOMO SETTLEMENT REF 3355</t>
  </si>
  <si>
    <t>POS SETTLEMENT VCB | REF 2244</t>
  </si>
  <si>
    <t>IBFT-OUT | IBFT TO HKD LE T HOA REF 1133</t>
  </si>
  <si>
    <t>IBFT-OUT | IBFT TO CTY CP TRA NGON REF 9922</t>
  </si>
  <si>
    <t>POS SETTLEMENT VCB | REF 8811</t>
  </si>
  <si>
    <t>POS SETTLEMENT VCB | REF 7700</t>
  </si>
  <si>
    <t>IBFT-OUT | IBFT TO TONG CUC THUE REF 6699</t>
  </si>
  <si>
    <t>POS SETTLEMENT VCB | REF 5588</t>
  </si>
  <si>
    <t>POS SETTLEMENT VCB | REF 4477</t>
  </si>
  <si>
    <t>INTEREST | INTEREST CREDIT T01/2024</t>
  </si>
  <si>
    <t>FEE | SMS NOTIFICATION FEE T01/2024</t>
  </si>
  <si>
    <t/>
  </si>
  <si>
    <t>UNC029</t>
  </si>
  <si>
    <t>Trả NCC Cty Trà Ngon - trà các loại</t>
  </si>
  <si>
    <t>UNC033</t>
  </si>
  <si>
    <t>Trả NCC Cty TNHH Đường Tinh - đường mía</t>
  </si>
  <si>
    <t>CK035</t>
  </si>
  <si>
    <t>Khách Hoàng Văn F CK tiệc tất niên</t>
  </si>
  <si>
    <t>Date</t>
  </si>
  <si>
    <t>Document number</t>
  </si>
  <si>
    <t>Description</t>
  </si>
  <si>
    <t>Bank Statement.Date</t>
  </si>
  <si>
    <t>Bank Statement.Description</t>
  </si>
  <si>
    <t xml:space="preserve">Credit </t>
  </si>
  <si>
    <t xml:space="preserve">Debit </t>
  </si>
  <si>
    <t>No</t>
  </si>
  <si>
    <t>Type</t>
  </si>
  <si>
    <t>15/01/2024</t>
  </si>
  <si>
    <t>Company to adjust</t>
  </si>
  <si>
    <t>20/01/2024</t>
  </si>
  <si>
    <t>25/01/2024</t>
  </si>
  <si>
    <t>30/01/2024</t>
  </si>
  <si>
    <t>No adjustment</t>
  </si>
  <si>
    <t>31/01/2024</t>
  </si>
  <si>
    <t>Business’s errors and omissions</t>
  </si>
  <si>
    <t>Bank errors</t>
  </si>
  <si>
    <t>Timing differences</t>
  </si>
  <si>
    <t>Amount</t>
  </si>
  <si>
    <t>Company action</t>
  </si>
  <si>
    <t>The bank overcharged VND 450,000.</t>
  </si>
  <si>
    <t>Outstanding analysis</t>
  </si>
  <si>
    <t>Bank interest</t>
  </si>
  <si>
    <t>Bank charges</t>
  </si>
  <si>
    <t>Detail Types</t>
  </si>
  <si>
    <t>Outstanding lodgements</t>
  </si>
  <si>
    <t>Less</t>
  </si>
  <si>
    <t>ADJUSTED CASH BOOK BALANCE</t>
  </si>
  <si>
    <t>Cash book balance b/d</t>
  </si>
  <si>
    <t>Add</t>
  </si>
  <si>
    <t>Correction of overstatement</t>
  </si>
  <si>
    <t>Corrected cash book balance</t>
  </si>
  <si>
    <t>BANK RECONCILIATION</t>
  </si>
  <si>
    <t>Balance as per cash book (corrected)</t>
  </si>
  <si>
    <t>Unpresented cheques</t>
  </si>
  <si>
    <t>Uncleared lodgements</t>
  </si>
  <si>
    <t>Balance as per bank statement</t>
  </si>
  <si>
    <t>VND</t>
  </si>
  <si>
    <t>Bank intereset</t>
  </si>
  <si>
    <t>Net Cash Movement</t>
  </si>
  <si>
    <t>Bank Statement.Net Cash Movement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</si>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</sst>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;\(#,##0\);\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4EA72E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rgb="FFDAF2D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5" fontId="0" fillId="0" borderId="0" xfId="0" applyNumberFormat="1"/>
    <xf numFmtId="43" fontId="0" fillId="0" borderId="0" xfId="1" applyFont="1"/>
    <xf numFmtId="164" fontId="0" fillId="0" borderId="0" xfId="1" applyNumberFormat="1" applyFont="1"/>
    <xf numFmtId="0" fontId="5" fillId="4" borderId="0" xfId="0" applyFont="1" applyFill="1"/>
    <xf numFmtId="0" fontId="0" fillId="4" borderId="0" xfId="0" applyFill="1"/>
    <xf numFmtId="0" fontId="4" fillId="5" borderId="0" xfId="0" applyFont="1" applyFill="1" applyAlignment="1">
      <alignment horizontal="center"/>
    </xf>
    <xf numFmtId="0" fontId="3" fillId="6" borderId="0" xfId="0" applyFont="1" applyFill="1"/>
    <xf numFmtId="0" fontId="0" fillId="6" borderId="0" xfId="0" applyFill="1"/>
    <xf numFmtId="165" fontId="3" fillId="6" borderId="0" xfId="0" applyNumberFormat="1" applyFont="1" applyFill="1"/>
  </cellXfs>
  <cellStyles count="2">
    <cellStyle name="Comma" xfId="1" builtinId="3"/>
    <cellStyle name="Normal" xfId="0" builtinId="0"/>
  </cellStyles>
  <dxfs count="6">
    <dxf>
      <numFmt numFmtId="19" formatCode="m/d/yyyy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636407B-DA5D-4FC0-95CB-072A9F811C5F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Số chứng từ" tableColumnId="2"/>
      <queryTableField id="3" name="Diễn giải" tableColumnId="3"/>
      <queryTableField id="4" name="Net Cash Flow" tableColumnId="4"/>
      <queryTableField id="5" name="Bank Statement.Ngày giao dịch" tableColumnId="5"/>
      <queryTableField id="6" name="Bank Statement.Diễn giải" tableColumnId="6"/>
      <queryTableField id="7" name="Bank Statement.Net Cash FLow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354BDBD-82B9-401D-B26F-C236832D2693}" autoFormatId="16" applyNumberFormats="0" applyBorderFormats="0" applyFontFormats="0" applyPatternFormats="0" applyAlignmentFormats="0" applyWidthHeightFormats="0">
  <queryTableRefresh nextId="7">
    <queryTableFields count="6">
      <queryTableField id="1" name="Ngày giao dịch" tableColumnId="1"/>
      <queryTableField id="2" name="Diễn giải" tableColumnId="2"/>
      <queryTableField id="3" name="Credit (Tiền vào)" tableColumnId="3"/>
      <queryTableField id="4" name="Debit (Tiền ra)" tableColumnId="4"/>
      <queryTableField id="5" name="Số dư" tableColumnId="5"/>
      <queryTableField id="6" name="Net Cash FLow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78149F-18AA-4379-947C-91D6A825EBA6}" name="Detailed_Ledger" displayName="Detailed_Ledger" ref="B2:H10" tableType="queryTable" totalsRowShown="0">
  <autoFilter ref="B2:H10" xr:uid="{BD78149F-18AA-4379-947C-91D6A825EBA6}"/>
  <tableColumns count="7">
    <tableColumn id="1" xr3:uid="{4DAF27FD-4BD6-4666-9DBA-3A595ADF22E9}" uniqueName="1" name="Date" queryTableFieldId="1" dataDxfId="5"/>
    <tableColumn id="2" xr3:uid="{E7B85DC9-6147-4BBB-9C69-B899B533451A}" uniqueName="2" name="Document number" queryTableFieldId="2"/>
    <tableColumn id="3" xr3:uid="{06F375FB-6E89-422E-BA6F-89F004382384}" uniqueName="3" name="Description" queryTableFieldId="3"/>
    <tableColumn id="4" xr3:uid="{CF5BCC07-55D5-4C15-B6A7-B9D594FB3CF7}" uniqueName="4" name="Net Cash Movement" queryTableFieldId="4" dataDxfId="4"/>
    <tableColumn id="5" xr3:uid="{6E81ABBB-E286-4EE0-9649-24FC93C3903D}" uniqueName="5" name="Bank Statement.Date" queryTableFieldId="5" dataDxfId="3"/>
    <tableColumn id="6" xr3:uid="{341063D8-194D-40EA-B51F-4EDFB3C5EBBA}" uniqueName="6" name="Bank Statement.Description" queryTableFieldId="6" dataDxfId="2"/>
    <tableColumn id="7" xr3:uid="{74315B94-503A-4B16-9D7C-DB5CF29F7B58}" uniqueName="7" name="Bank Statement.Net Cash Movement" queryTableFieldId="7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70520E-7937-4D24-8BAE-FBCEB8A9F453}" name="Bank_Statement" displayName="Bank_Statement" ref="A1:F37" tableType="queryTable" totalsRowShown="0">
  <autoFilter ref="A1:F37" xr:uid="{0170520E-7937-4D24-8BAE-FBCEB8A9F453}"/>
  <tableColumns count="6">
    <tableColumn id="1" xr3:uid="{222CF53D-10E3-4B1A-8A27-62D9D5EF762F}" uniqueName="1" name="Date" queryTableFieldId="1" dataDxfId="0"/>
    <tableColumn id="2" xr3:uid="{F2FC4B42-3F1F-48FD-920F-1B9EB0E31548}" uniqueName="2" name="Description" queryTableFieldId="2"/>
    <tableColumn id="3" xr3:uid="{2F362FB9-C81D-4D38-97E9-918E14094CDB}" uniqueName="3" name="Credit " queryTableFieldId="3"/>
    <tableColumn id="4" xr3:uid="{CBF0EDE0-1ECC-4778-AA75-46D1297E5E86}" uniqueName="4" name="Debit " queryTableFieldId="4"/>
    <tableColumn id="5" xr3:uid="{2EB4724D-C29C-44FD-86CB-F78DEA5D3513}" uniqueName="5" name="Balance" queryTableFieldId="5"/>
    <tableColumn id="6" xr3:uid="{8BC19F5E-3608-40A7-A9AF-8E421317BAF4}" uniqueName="6" name="Net Cash Movement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7F3B6AA-69E7-491E-9035-39539645722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35b5169-515d-4b24-b241-54cd51def68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BB284-7AE4-4F45-BDCB-F6CC62ECE8B7}">
  <dimension ref="B2:H43"/>
  <sheetViews>
    <sheetView showGridLines="0" zoomScale="92" workbookViewId="0">
      <selection activeCell="E3" sqref="E3"/>
    </sheetView>
  </sheetViews>
  <sheetFormatPr defaultRowHeight="14.4" x14ac:dyDescent="0.3"/>
  <cols>
    <col min="1" max="1" width="25.88671875" customWidth="1"/>
    <col min="2" max="2" width="13.21875" customWidth="1"/>
    <col min="3" max="3" width="26.44140625" customWidth="1"/>
    <col min="4" max="4" width="17.44140625" customWidth="1"/>
    <col min="5" max="5" width="19.109375" customWidth="1"/>
    <col min="6" max="6" width="23.77734375" customWidth="1"/>
    <col min="7" max="7" width="47.77734375" customWidth="1"/>
    <col min="8" max="8" width="29.5546875" customWidth="1"/>
  </cols>
  <sheetData>
    <row r="2" spans="2:8" x14ac:dyDescent="0.3">
      <c r="B2" s="1" t="s">
        <v>43</v>
      </c>
      <c r="C2" t="s">
        <v>44</v>
      </c>
      <c r="D2" t="s">
        <v>45</v>
      </c>
      <c r="E2" t="s">
        <v>83</v>
      </c>
      <c r="F2" s="15" t="s">
        <v>46</v>
      </c>
      <c r="G2" s="15" t="s">
        <v>47</v>
      </c>
      <c r="H2" s="15" t="s">
        <v>84</v>
      </c>
    </row>
    <row r="3" spans="2:8" x14ac:dyDescent="0.3">
      <c r="B3" s="1" t="s">
        <v>36</v>
      </c>
      <c r="C3" t="s">
        <v>36</v>
      </c>
      <c r="D3" t="s">
        <v>36</v>
      </c>
      <c r="E3" s="15" t="s">
        <v>36</v>
      </c>
      <c r="F3" s="16">
        <v>45306</v>
      </c>
      <c r="G3" s="15" t="s">
        <v>14</v>
      </c>
      <c r="H3" s="15">
        <v>-110000</v>
      </c>
    </row>
    <row r="4" spans="2:8" x14ac:dyDescent="0.3">
      <c r="B4" s="16" t="s">
        <v>36</v>
      </c>
      <c r="C4" t="s">
        <v>36</v>
      </c>
      <c r="D4" t="s">
        <v>36</v>
      </c>
      <c r="E4" s="15" t="s">
        <v>36</v>
      </c>
      <c r="F4" s="16">
        <v>45311</v>
      </c>
      <c r="G4" s="15" t="s">
        <v>21</v>
      </c>
      <c r="H4" s="15">
        <v>-22000</v>
      </c>
    </row>
    <row r="5" spans="2:8" x14ac:dyDescent="0.3">
      <c r="B5" s="16" t="s">
        <v>36</v>
      </c>
      <c r="C5" t="s">
        <v>36</v>
      </c>
      <c r="D5" t="s">
        <v>36</v>
      </c>
      <c r="E5" s="15" t="s">
        <v>36</v>
      </c>
      <c r="F5" s="16">
        <v>45316</v>
      </c>
      <c r="G5" s="15" t="s">
        <v>28</v>
      </c>
      <c r="H5" s="15">
        <v>-5500000</v>
      </c>
    </row>
    <row r="6" spans="2:8" x14ac:dyDescent="0.3">
      <c r="B6" s="16" t="s">
        <v>36</v>
      </c>
      <c r="C6" t="s">
        <v>36</v>
      </c>
      <c r="D6" t="s">
        <v>36</v>
      </c>
      <c r="E6" s="15" t="s">
        <v>36</v>
      </c>
      <c r="F6" s="16">
        <v>45322</v>
      </c>
      <c r="G6" s="15" t="s">
        <v>34</v>
      </c>
      <c r="H6" s="15">
        <v>45000</v>
      </c>
    </row>
    <row r="7" spans="2:8" x14ac:dyDescent="0.3">
      <c r="B7" s="16" t="s">
        <v>36</v>
      </c>
      <c r="C7" t="s">
        <v>36</v>
      </c>
      <c r="D7" t="s">
        <v>36</v>
      </c>
      <c r="E7" s="15" t="s">
        <v>36</v>
      </c>
      <c r="F7" s="16">
        <v>45322</v>
      </c>
      <c r="G7" t="s">
        <v>35</v>
      </c>
      <c r="H7" s="15">
        <v>-11000</v>
      </c>
    </row>
    <row r="8" spans="2:8" x14ac:dyDescent="0.3">
      <c r="B8" s="16">
        <v>45316</v>
      </c>
      <c r="C8" t="s">
        <v>37</v>
      </c>
      <c r="D8" t="s">
        <v>38</v>
      </c>
      <c r="E8" s="15">
        <v>-5050000</v>
      </c>
      <c r="F8" s="16" t="s">
        <v>36</v>
      </c>
      <c r="G8" s="15" t="s">
        <v>36</v>
      </c>
      <c r="H8" s="15" t="s">
        <v>36</v>
      </c>
    </row>
    <row r="9" spans="2:8" x14ac:dyDescent="0.3">
      <c r="B9" s="16">
        <v>45321</v>
      </c>
      <c r="C9" t="s">
        <v>39</v>
      </c>
      <c r="D9" t="s">
        <v>40</v>
      </c>
      <c r="E9" s="15">
        <v>-3800000</v>
      </c>
      <c r="F9" s="16" t="s">
        <v>36</v>
      </c>
      <c r="G9" s="15" t="s">
        <v>36</v>
      </c>
      <c r="H9" s="15" t="s">
        <v>36</v>
      </c>
    </row>
    <row r="10" spans="2:8" x14ac:dyDescent="0.3">
      <c r="B10" s="16">
        <v>45322</v>
      </c>
      <c r="C10" t="s">
        <v>41</v>
      </c>
      <c r="D10" t="s">
        <v>42</v>
      </c>
      <c r="E10" s="15">
        <v>5200000</v>
      </c>
      <c r="F10" s="16" t="s">
        <v>36</v>
      </c>
      <c r="G10" s="15" t="s">
        <v>36</v>
      </c>
      <c r="H10" s="15" t="s">
        <v>36</v>
      </c>
    </row>
    <row r="14" spans="2:8" x14ac:dyDescent="0.3">
      <c r="B14" s="5" t="s">
        <v>50</v>
      </c>
      <c r="C14" s="5" t="s">
        <v>43</v>
      </c>
      <c r="D14" s="6" t="s">
        <v>51</v>
      </c>
      <c r="E14" s="6" t="s">
        <v>68</v>
      </c>
      <c r="F14" s="6" t="s">
        <v>63</v>
      </c>
      <c r="G14" s="7" t="s">
        <v>62</v>
      </c>
    </row>
    <row r="15" spans="2:8" ht="28.8" x14ac:dyDescent="0.3">
      <c r="B15" s="2">
        <v>1</v>
      </c>
      <c r="C15" s="2" t="s">
        <v>52</v>
      </c>
      <c r="D15" s="8" t="s">
        <v>59</v>
      </c>
      <c r="E15" s="8" t="s">
        <v>67</v>
      </c>
      <c r="F15" s="8" t="s">
        <v>53</v>
      </c>
      <c r="G15" s="9">
        <v>-110000</v>
      </c>
    </row>
    <row r="16" spans="2:8" ht="28.8" x14ac:dyDescent="0.3">
      <c r="B16" s="3">
        <v>2</v>
      </c>
      <c r="C16" s="3" t="s">
        <v>54</v>
      </c>
      <c r="D16" s="10" t="s">
        <v>59</v>
      </c>
      <c r="E16" s="10" t="s">
        <v>67</v>
      </c>
      <c r="F16" s="10" t="s">
        <v>53</v>
      </c>
      <c r="G16" s="11">
        <v>-22000</v>
      </c>
    </row>
    <row r="17" spans="2:7" ht="28.8" x14ac:dyDescent="0.3">
      <c r="B17" s="14">
        <v>3</v>
      </c>
      <c r="C17" s="14" t="s">
        <v>55</v>
      </c>
      <c r="D17" s="12" t="s">
        <v>60</v>
      </c>
      <c r="E17" s="12" t="s">
        <v>64</v>
      </c>
      <c r="F17" s="12" t="s">
        <v>57</v>
      </c>
      <c r="G17" s="13">
        <v>-450000</v>
      </c>
    </row>
    <row r="18" spans="2:7" x14ac:dyDescent="0.3">
      <c r="B18" s="3">
        <v>4</v>
      </c>
      <c r="C18" s="3" t="s">
        <v>56</v>
      </c>
      <c r="D18" s="10" t="s">
        <v>61</v>
      </c>
      <c r="E18" s="10" t="s">
        <v>65</v>
      </c>
      <c r="F18" s="10" t="s">
        <v>57</v>
      </c>
      <c r="G18" s="11">
        <v>-3800000</v>
      </c>
    </row>
    <row r="19" spans="2:7" ht="28.8" x14ac:dyDescent="0.3">
      <c r="B19" s="2">
        <v>5</v>
      </c>
      <c r="C19" s="2" t="s">
        <v>58</v>
      </c>
      <c r="D19" s="8" t="s">
        <v>59</v>
      </c>
      <c r="E19" s="8" t="s">
        <v>66</v>
      </c>
      <c r="F19" s="8" t="s">
        <v>53</v>
      </c>
      <c r="G19" s="9">
        <v>45000</v>
      </c>
    </row>
    <row r="20" spans="2:7" x14ac:dyDescent="0.3">
      <c r="B20" s="3">
        <v>6</v>
      </c>
      <c r="C20" s="3" t="s">
        <v>58</v>
      </c>
      <c r="D20" s="10" t="s">
        <v>61</v>
      </c>
      <c r="E20" s="10" t="s">
        <v>69</v>
      </c>
      <c r="F20" s="10" t="s">
        <v>57</v>
      </c>
      <c r="G20" s="11">
        <v>5200000</v>
      </c>
    </row>
    <row r="21" spans="2:7" ht="28.8" x14ac:dyDescent="0.3">
      <c r="B21" s="2">
        <v>7</v>
      </c>
      <c r="C21" s="2" t="s">
        <v>58</v>
      </c>
      <c r="D21" s="8" t="s">
        <v>59</v>
      </c>
      <c r="E21" s="8" t="s">
        <v>67</v>
      </c>
      <c r="F21" s="8" t="s">
        <v>53</v>
      </c>
      <c r="G21" s="9">
        <v>-11000</v>
      </c>
    </row>
    <row r="22" spans="2:7" x14ac:dyDescent="0.3">
      <c r="B22" s="4"/>
    </row>
    <row r="24" spans="2:7" ht="15.6" x14ac:dyDescent="0.3">
      <c r="B24" s="20" t="s">
        <v>71</v>
      </c>
      <c r="C24" s="21"/>
      <c r="D24" s="21"/>
      <c r="E24" s="21"/>
    </row>
    <row r="25" spans="2:7" x14ac:dyDescent="0.3">
      <c r="D25" s="22" t="s">
        <v>81</v>
      </c>
      <c r="E25" s="22" t="s">
        <v>81</v>
      </c>
    </row>
    <row r="26" spans="2:7" x14ac:dyDescent="0.3">
      <c r="B26" t="s">
        <v>72</v>
      </c>
      <c r="E26" s="17">
        <v>6750000</v>
      </c>
    </row>
    <row r="27" spans="2:7" x14ac:dyDescent="0.3">
      <c r="B27" t="s">
        <v>73</v>
      </c>
      <c r="C27" t="s">
        <v>82</v>
      </c>
      <c r="D27" s="17">
        <f>G19</f>
        <v>45000</v>
      </c>
    </row>
    <row r="28" spans="2:7" x14ac:dyDescent="0.3">
      <c r="E28" s="17">
        <f>SUM(D27:D27)</f>
        <v>45000</v>
      </c>
    </row>
    <row r="29" spans="2:7" x14ac:dyDescent="0.3">
      <c r="B29" t="s">
        <v>70</v>
      </c>
      <c r="C29" t="s">
        <v>67</v>
      </c>
      <c r="D29" s="17">
        <v>110000</v>
      </c>
    </row>
    <row r="30" spans="2:7" x14ac:dyDescent="0.3">
      <c r="C30" t="s">
        <v>67</v>
      </c>
      <c r="D30" s="19">
        <v>22000</v>
      </c>
    </row>
    <row r="31" spans="2:7" x14ac:dyDescent="0.3">
      <c r="C31" t="s">
        <v>67</v>
      </c>
      <c r="D31" s="19">
        <v>11000</v>
      </c>
    </row>
    <row r="32" spans="2:7" x14ac:dyDescent="0.3">
      <c r="E32" s="17">
        <f>SUM(D29:D31)</f>
        <v>143000</v>
      </c>
    </row>
    <row r="33" spans="2:5" x14ac:dyDescent="0.3">
      <c r="B33" s="23" t="s">
        <v>75</v>
      </c>
      <c r="C33" s="24"/>
      <c r="D33" s="24"/>
      <c r="E33" s="25">
        <f>E26+E28-E32</f>
        <v>6652000</v>
      </c>
    </row>
    <row r="35" spans="2:5" ht="15.6" x14ac:dyDescent="0.3">
      <c r="B35" s="20" t="s">
        <v>76</v>
      </c>
      <c r="C35" s="21"/>
      <c r="D35" s="21"/>
      <c r="E35" s="21"/>
    </row>
    <row r="36" spans="2:5" x14ac:dyDescent="0.3">
      <c r="D36" s="22" t="s">
        <v>81</v>
      </c>
      <c r="E36" s="22" t="s">
        <v>81</v>
      </c>
    </row>
    <row r="37" spans="2:5" x14ac:dyDescent="0.3">
      <c r="B37" t="s">
        <v>77</v>
      </c>
      <c r="E37" s="17">
        <v>4802000</v>
      </c>
    </row>
    <row r="38" spans="2:5" x14ac:dyDescent="0.3">
      <c r="B38" t="s">
        <v>73</v>
      </c>
      <c r="C38" t="s">
        <v>74</v>
      </c>
      <c r="D38" s="17">
        <v>450000</v>
      </c>
    </row>
    <row r="39" spans="2:5" x14ac:dyDescent="0.3">
      <c r="B39" t="s">
        <v>73</v>
      </c>
      <c r="C39" t="s">
        <v>79</v>
      </c>
      <c r="D39" s="17">
        <f>G20</f>
        <v>5200000</v>
      </c>
    </row>
    <row r="40" spans="2:5" x14ac:dyDescent="0.3">
      <c r="D40" s="17"/>
      <c r="E40" s="17"/>
    </row>
    <row r="41" spans="2:5" x14ac:dyDescent="0.3">
      <c r="B41" t="s">
        <v>70</v>
      </c>
      <c r="C41" t="s">
        <v>78</v>
      </c>
      <c r="D41" s="17">
        <f>-G18</f>
        <v>3800000</v>
      </c>
    </row>
    <row r="42" spans="2:5" x14ac:dyDescent="0.3">
      <c r="D42" s="17"/>
      <c r="E42" s="18"/>
    </row>
    <row r="43" spans="2:5" x14ac:dyDescent="0.3">
      <c r="B43" s="23" t="s">
        <v>80</v>
      </c>
      <c r="C43" s="24"/>
      <c r="D43" s="24"/>
      <c r="E43" s="25">
        <f>E37-D41+D39+D38</f>
        <v>6652000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02C9D-3B74-40F1-BEE9-BC47D3AD9C79}">
  <dimension ref="A1:F37"/>
  <sheetViews>
    <sheetView tabSelected="1" workbookViewId="0">
      <selection activeCell="E2" sqref="E2"/>
    </sheetView>
  </sheetViews>
  <sheetFormatPr defaultRowHeight="14.4" x14ac:dyDescent="0.3"/>
  <cols>
    <col min="1" max="1" width="15.109375" bestFit="1" customWidth="1"/>
    <col min="2" max="2" width="47.77734375" bestFit="1" customWidth="1"/>
    <col min="3" max="3" width="16.88671875" bestFit="1" customWidth="1"/>
    <col min="4" max="4" width="14.88671875" bestFit="1" customWidth="1"/>
    <col min="5" max="5" width="9" bestFit="1" customWidth="1"/>
    <col min="6" max="6" width="15.33203125" bestFit="1" customWidth="1"/>
  </cols>
  <sheetData>
    <row r="1" spans="1:6" x14ac:dyDescent="0.3">
      <c r="A1" t="s">
        <v>43</v>
      </c>
      <c r="B1" t="s">
        <v>45</v>
      </c>
      <c r="C1" t="s">
        <v>48</v>
      </c>
      <c r="D1" t="s">
        <v>49</v>
      </c>
      <c r="E1" t="s">
        <v>85</v>
      </c>
      <c r="F1" t="s">
        <v>83</v>
      </c>
    </row>
    <row r="2" spans="1:6" x14ac:dyDescent="0.3">
      <c r="A2" s="1">
        <v>45293</v>
      </c>
      <c r="B2" t="s">
        <v>0</v>
      </c>
      <c r="C2">
        <v>3500000</v>
      </c>
      <c r="D2">
        <v>0</v>
      </c>
      <c r="E2">
        <v>53500000</v>
      </c>
      <c r="F2">
        <v>3500000</v>
      </c>
    </row>
    <row r="3" spans="1:6" x14ac:dyDescent="0.3">
      <c r="A3" s="1">
        <v>45294</v>
      </c>
      <c r="B3" t="s">
        <v>1</v>
      </c>
      <c r="C3">
        <v>0</v>
      </c>
      <c r="D3">
        <v>12500000</v>
      </c>
      <c r="E3">
        <v>41000000</v>
      </c>
      <c r="F3">
        <v>-12500000</v>
      </c>
    </row>
    <row r="4" spans="1:6" x14ac:dyDescent="0.3">
      <c r="A4" s="1">
        <v>45294</v>
      </c>
      <c r="B4" t="s">
        <v>2</v>
      </c>
      <c r="C4">
        <v>2800000</v>
      </c>
      <c r="D4">
        <v>0</v>
      </c>
      <c r="E4">
        <v>43800000</v>
      </c>
      <c r="F4">
        <v>2800000</v>
      </c>
    </row>
    <row r="5" spans="1:6" x14ac:dyDescent="0.3">
      <c r="A5" s="1">
        <v>45295</v>
      </c>
      <c r="B5" t="s">
        <v>3</v>
      </c>
      <c r="C5">
        <v>4200000</v>
      </c>
      <c r="D5">
        <v>0</v>
      </c>
      <c r="E5">
        <v>48000000</v>
      </c>
      <c r="F5">
        <v>4200000</v>
      </c>
    </row>
    <row r="6" spans="1:6" x14ac:dyDescent="0.3">
      <c r="A6" s="1">
        <v>45295</v>
      </c>
      <c r="B6" t="s">
        <v>4</v>
      </c>
      <c r="C6">
        <v>0</v>
      </c>
      <c r="D6">
        <v>1800000</v>
      </c>
      <c r="E6">
        <v>46200000</v>
      </c>
      <c r="F6">
        <v>-1800000</v>
      </c>
    </row>
    <row r="7" spans="1:6" x14ac:dyDescent="0.3">
      <c r="A7" s="1">
        <v>45296</v>
      </c>
      <c r="B7" t="s">
        <v>5</v>
      </c>
      <c r="C7">
        <v>0</v>
      </c>
      <c r="D7">
        <v>6500000</v>
      </c>
      <c r="E7">
        <v>39700000</v>
      </c>
      <c r="F7">
        <v>-6500000</v>
      </c>
    </row>
    <row r="8" spans="1:6" x14ac:dyDescent="0.3">
      <c r="A8" s="1">
        <v>45299</v>
      </c>
      <c r="B8" t="s">
        <v>6</v>
      </c>
      <c r="C8">
        <v>3100000</v>
      </c>
      <c r="D8">
        <v>0</v>
      </c>
      <c r="E8">
        <v>42800000</v>
      </c>
      <c r="F8">
        <v>3100000</v>
      </c>
    </row>
    <row r="9" spans="1:6" x14ac:dyDescent="0.3">
      <c r="A9" s="1">
        <v>45299</v>
      </c>
      <c r="B9" t="s">
        <v>7</v>
      </c>
      <c r="C9">
        <v>0</v>
      </c>
      <c r="D9">
        <v>25000000</v>
      </c>
      <c r="E9">
        <v>17800000</v>
      </c>
      <c r="F9">
        <v>-25000000</v>
      </c>
    </row>
    <row r="10" spans="1:6" x14ac:dyDescent="0.3">
      <c r="A10" s="1">
        <v>45300</v>
      </c>
      <c r="B10" t="s">
        <v>8</v>
      </c>
      <c r="C10">
        <v>3800000</v>
      </c>
      <c r="D10">
        <v>0</v>
      </c>
      <c r="E10">
        <v>21600000</v>
      </c>
      <c r="F10">
        <v>3800000</v>
      </c>
    </row>
    <row r="11" spans="1:6" x14ac:dyDescent="0.3">
      <c r="A11" s="1">
        <v>45300</v>
      </c>
      <c r="B11" t="s">
        <v>9</v>
      </c>
      <c r="C11">
        <v>0</v>
      </c>
      <c r="D11">
        <v>4200000</v>
      </c>
      <c r="E11">
        <v>17400000</v>
      </c>
      <c r="F11">
        <v>-4200000</v>
      </c>
    </row>
    <row r="12" spans="1:6" x14ac:dyDescent="0.3">
      <c r="A12" s="1">
        <v>45301</v>
      </c>
      <c r="B12" t="s">
        <v>10</v>
      </c>
      <c r="C12">
        <v>2900000</v>
      </c>
      <c r="D12">
        <v>0</v>
      </c>
      <c r="E12">
        <v>20300000</v>
      </c>
      <c r="F12">
        <v>2900000</v>
      </c>
    </row>
    <row r="13" spans="1:6" x14ac:dyDescent="0.3">
      <c r="A13" s="1">
        <v>45301</v>
      </c>
      <c r="B13" t="s">
        <v>11</v>
      </c>
      <c r="C13">
        <v>0</v>
      </c>
      <c r="D13">
        <v>650000</v>
      </c>
      <c r="E13">
        <v>19650000</v>
      </c>
      <c r="F13">
        <v>-650000</v>
      </c>
    </row>
    <row r="14" spans="1:6" x14ac:dyDescent="0.3">
      <c r="A14" s="1">
        <v>45303</v>
      </c>
      <c r="B14" t="s">
        <v>12</v>
      </c>
      <c r="C14">
        <v>4100000</v>
      </c>
      <c r="D14">
        <v>0</v>
      </c>
      <c r="E14">
        <v>23750000</v>
      </c>
      <c r="F14">
        <v>4100000</v>
      </c>
    </row>
    <row r="15" spans="1:6" x14ac:dyDescent="0.3">
      <c r="A15" s="1">
        <v>45303</v>
      </c>
      <c r="B15" t="s">
        <v>13</v>
      </c>
      <c r="C15">
        <v>0</v>
      </c>
      <c r="D15">
        <v>8200000</v>
      </c>
      <c r="E15">
        <v>15550000</v>
      </c>
      <c r="F15">
        <v>-8200000</v>
      </c>
    </row>
    <row r="16" spans="1:6" x14ac:dyDescent="0.3">
      <c r="A16" s="1">
        <v>45306</v>
      </c>
      <c r="B16" t="s">
        <v>14</v>
      </c>
      <c r="C16">
        <v>0</v>
      </c>
      <c r="D16">
        <v>110000</v>
      </c>
      <c r="E16">
        <v>15440000</v>
      </c>
      <c r="F16">
        <v>-110000</v>
      </c>
    </row>
    <row r="17" spans="1:6" x14ac:dyDescent="0.3">
      <c r="A17" s="1">
        <v>45306</v>
      </c>
      <c r="B17" t="s">
        <v>15</v>
      </c>
      <c r="C17">
        <v>3300000</v>
      </c>
      <c r="D17">
        <v>0</v>
      </c>
      <c r="E17">
        <v>18740000</v>
      </c>
      <c r="F17">
        <v>3300000</v>
      </c>
    </row>
    <row r="18" spans="1:6" x14ac:dyDescent="0.3">
      <c r="A18" s="1">
        <v>45307</v>
      </c>
      <c r="B18" t="s">
        <v>16</v>
      </c>
      <c r="C18">
        <v>3950000</v>
      </c>
      <c r="D18">
        <v>0</v>
      </c>
      <c r="E18">
        <v>22690000</v>
      </c>
      <c r="F18">
        <v>3950000</v>
      </c>
    </row>
    <row r="19" spans="1:6" x14ac:dyDescent="0.3">
      <c r="A19" s="1">
        <v>45307</v>
      </c>
      <c r="B19" t="s">
        <v>17</v>
      </c>
      <c r="C19">
        <v>0</v>
      </c>
      <c r="D19">
        <v>1200000</v>
      </c>
      <c r="E19">
        <v>21490000</v>
      </c>
      <c r="F19">
        <v>-1200000</v>
      </c>
    </row>
    <row r="20" spans="1:6" x14ac:dyDescent="0.3">
      <c r="A20" s="1">
        <v>45308</v>
      </c>
      <c r="B20" t="s">
        <v>18</v>
      </c>
      <c r="C20">
        <v>0</v>
      </c>
      <c r="D20">
        <v>3500000</v>
      </c>
      <c r="E20">
        <v>17990000</v>
      </c>
      <c r="F20">
        <v>-3500000</v>
      </c>
    </row>
    <row r="21" spans="1:6" x14ac:dyDescent="0.3">
      <c r="A21" s="1">
        <v>45309</v>
      </c>
      <c r="B21" t="s">
        <v>19</v>
      </c>
      <c r="C21">
        <v>4500000</v>
      </c>
      <c r="D21">
        <v>0</v>
      </c>
      <c r="E21">
        <v>22490000</v>
      </c>
      <c r="F21">
        <v>4500000</v>
      </c>
    </row>
    <row r="22" spans="1:6" x14ac:dyDescent="0.3">
      <c r="A22" s="1">
        <v>45310</v>
      </c>
      <c r="B22" t="s">
        <v>20</v>
      </c>
      <c r="C22">
        <v>3000000</v>
      </c>
      <c r="D22">
        <v>0</v>
      </c>
      <c r="E22">
        <v>25490000</v>
      </c>
      <c r="F22">
        <v>3000000</v>
      </c>
    </row>
    <row r="23" spans="1:6" x14ac:dyDescent="0.3">
      <c r="A23" s="1">
        <v>45311</v>
      </c>
      <c r="B23" t="s">
        <v>21</v>
      </c>
      <c r="C23">
        <v>0</v>
      </c>
      <c r="D23">
        <v>22000</v>
      </c>
      <c r="E23">
        <v>25468000</v>
      </c>
      <c r="F23">
        <v>-22000</v>
      </c>
    </row>
    <row r="24" spans="1:6" x14ac:dyDescent="0.3">
      <c r="A24" s="1">
        <v>45311</v>
      </c>
      <c r="B24" t="s">
        <v>22</v>
      </c>
      <c r="C24">
        <v>0</v>
      </c>
      <c r="D24">
        <v>35000000</v>
      </c>
      <c r="E24">
        <v>-9532000</v>
      </c>
      <c r="F24">
        <v>-35000000</v>
      </c>
    </row>
    <row r="25" spans="1:6" x14ac:dyDescent="0.3">
      <c r="A25" s="1">
        <v>45313</v>
      </c>
      <c r="B25" t="s">
        <v>23</v>
      </c>
      <c r="C25">
        <v>3700000</v>
      </c>
      <c r="D25">
        <v>0</v>
      </c>
      <c r="E25">
        <v>-5832000</v>
      </c>
      <c r="F25">
        <v>3700000</v>
      </c>
    </row>
    <row r="26" spans="1:6" x14ac:dyDescent="0.3">
      <c r="A26" s="1">
        <v>45313</v>
      </c>
      <c r="B26" t="s">
        <v>24</v>
      </c>
      <c r="C26">
        <v>0</v>
      </c>
      <c r="D26">
        <v>2800000</v>
      </c>
      <c r="E26">
        <v>-8632000</v>
      </c>
      <c r="F26">
        <v>-2800000</v>
      </c>
    </row>
    <row r="27" spans="1:6" x14ac:dyDescent="0.3">
      <c r="A27" s="1">
        <v>45314</v>
      </c>
      <c r="B27" t="s">
        <v>25</v>
      </c>
      <c r="C27">
        <v>3600000</v>
      </c>
      <c r="D27">
        <v>0</v>
      </c>
      <c r="E27">
        <v>-5032000</v>
      </c>
      <c r="F27">
        <v>3600000</v>
      </c>
    </row>
    <row r="28" spans="1:6" x14ac:dyDescent="0.3">
      <c r="A28" s="1">
        <v>45315</v>
      </c>
      <c r="B28" t="s">
        <v>26</v>
      </c>
      <c r="C28">
        <v>4800000</v>
      </c>
      <c r="D28">
        <v>0</v>
      </c>
      <c r="E28">
        <v>-232000</v>
      </c>
      <c r="F28">
        <v>4800000</v>
      </c>
    </row>
    <row r="29" spans="1:6" x14ac:dyDescent="0.3">
      <c r="A29" s="1">
        <v>45315</v>
      </c>
      <c r="B29" t="s">
        <v>27</v>
      </c>
      <c r="C29">
        <v>0</v>
      </c>
      <c r="D29">
        <v>1500000</v>
      </c>
      <c r="E29">
        <v>-1732000</v>
      </c>
      <c r="F29">
        <v>-1500000</v>
      </c>
    </row>
    <row r="30" spans="1:6" x14ac:dyDescent="0.3">
      <c r="A30" s="1">
        <v>45316</v>
      </c>
      <c r="B30" t="s">
        <v>28</v>
      </c>
      <c r="C30">
        <v>0</v>
      </c>
      <c r="D30">
        <v>5500000</v>
      </c>
      <c r="E30">
        <v>-7232000</v>
      </c>
      <c r="F30">
        <v>-5500000</v>
      </c>
    </row>
    <row r="31" spans="1:6" x14ac:dyDescent="0.3">
      <c r="A31" s="1">
        <v>45317</v>
      </c>
      <c r="B31" t="s">
        <v>29</v>
      </c>
      <c r="C31">
        <v>4250000</v>
      </c>
      <c r="D31">
        <v>0</v>
      </c>
      <c r="E31">
        <v>-2982000</v>
      </c>
      <c r="F31">
        <v>4250000</v>
      </c>
    </row>
    <row r="32" spans="1:6" x14ac:dyDescent="0.3">
      <c r="A32" s="1">
        <v>45320</v>
      </c>
      <c r="B32" t="s">
        <v>30</v>
      </c>
      <c r="C32">
        <v>3450000</v>
      </c>
      <c r="D32">
        <v>0</v>
      </c>
      <c r="E32">
        <v>468000</v>
      </c>
      <c r="F32">
        <v>3450000</v>
      </c>
    </row>
    <row r="33" spans="1:6" x14ac:dyDescent="0.3">
      <c r="A33" s="1">
        <v>45320</v>
      </c>
      <c r="B33" t="s">
        <v>31</v>
      </c>
      <c r="C33">
        <v>0</v>
      </c>
      <c r="D33">
        <v>4400000</v>
      </c>
      <c r="E33">
        <v>-3932000</v>
      </c>
      <c r="F33">
        <v>-4400000</v>
      </c>
    </row>
    <row r="34" spans="1:6" x14ac:dyDescent="0.3">
      <c r="A34" s="1">
        <v>45321</v>
      </c>
      <c r="B34" t="s">
        <v>32</v>
      </c>
      <c r="C34">
        <v>4100000</v>
      </c>
      <c r="D34">
        <v>0</v>
      </c>
      <c r="E34">
        <v>168000</v>
      </c>
      <c r="F34">
        <v>4100000</v>
      </c>
    </row>
    <row r="35" spans="1:6" x14ac:dyDescent="0.3">
      <c r="A35" s="1">
        <v>45322</v>
      </c>
      <c r="B35" t="s">
        <v>33</v>
      </c>
      <c r="C35">
        <v>4600000</v>
      </c>
      <c r="D35">
        <v>0</v>
      </c>
      <c r="E35">
        <v>4768000</v>
      </c>
      <c r="F35">
        <v>4600000</v>
      </c>
    </row>
    <row r="36" spans="1:6" x14ac:dyDescent="0.3">
      <c r="A36" s="1">
        <v>45322</v>
      </c>
      <c r="B36" t="s">
        <v>34</v>
      </c>
      <c r="C36">
        <v>45000</v>
      </c>
      <c r="D36">
        <v>0</v>
      </c>
      <c r="E36">
        <v>4813000</v>
      </c>
      <c r="F36">
        <v>45000</v>
      </c>
    </row>
    <row r="37" spans="1:6" x14ac:dyDescent="0.3">
      <c r="A37" s="1">
        <v>45322</v>
      </c>
      <c r="B37" t="s">
        <v>35</v>
      </c>
      <c r="C37">
        <v>0</v>
      </c>
      <c r="D37">
        <v>11000</v>
      </c>
      <c r="E37">
        <v>4802000</v>
      </c>
      <c r="F37">
        <v>-11000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AE03F6-132A-4E51-8A6A-DFBD1DDD4B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Ledger</vt:lpstr>
      <vt:lpstr>Bank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Giang Huynh</dc:creator>
  <cp:lastModifiedBy>Giang Huynh</cp:lastModifiedBy>
  <dcterms:created xsi:type="dcterms:W3CDTF">2026-06-07T04:48:31Z</dcterms:created>
  <dcterms:modified xsi:type="dcterms:W3CDTF">2026-06-08T18:42:34Z</dcterms:modified>
</cp:coreProperties>
</file>